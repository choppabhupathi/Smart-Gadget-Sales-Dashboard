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OneDrive\Desktop\"/>
    </mc:Choice>
  </mc:AlternateContent>
  <xr:revisionPtr revIDLastSave="0" documentId="8_{3C34F5C5-A367-4663-8041-4CA38CDAFD05}" xr6:coauthVersionLast="47" xr6:coauthVersionMax="47" xr10:uidLastSave="{00000000-0000-0000-0000-000000000000}"/>
  <bookViews>
    <workbookView xWindow="-108" yWindow="-108" windowWidth="23256" windowHeight="13176" firstSheet="2" activeTab="2" xr2:uid="{A5C2C394-374F-4F2C-BA8E-86911A8BA276}"/>
  </bookViews>
  <sheets>
    <sheet name="Sheet2" sheetId="2" state="hidden" r:id="rId1"/>
    <sheet name="Sheet3" sheetId="3" state="hidden" r:id="rId2"/>
    <sheet name="Sales_Dashboard_2026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</calcChain>
</file>

<file path=xl/sharedStrings.xml><?xml version="1.0" encoding="utf-8"?>
<sst xmlns="http://schemas.openxmlformats.org/spreadsheetml/2006/main" count="62" uniqueCount="51">
  <si>
    <t>Product ID</t>
  </si>
  <si>
    <t>Product Name</t>
  </si>
  <si>
    <t>Category</t>
  </si>
  <si>
    <t>Stock Left</t>
  </si>
  <si>
    <t>Unit Price</t>
  </si>
  <si>
    <t>Total Sales</t>
  </si>
  <si>
    <t>Status (IF)</t>
  </si>
  <si>
    <t>SG-001</t>
  </si>
  <si>
    <t>SG-002</t>
  </si>
  <si>
    <t>SG-003</t>
  </si>
  <si>
    <t>SG-004</t>
  </si>
  <si>
    <t>SG-005</t>
  </si>
  <si>
    <t>SG-006</t>
  </si>
  <si>
    <t>SG-007</t>
  </si>
  <si>
    <t>SG-008</t>
  </si>
  <si>
    <t>SG-009</t>
  </si>
  <si>
    <t>SG-010</t>
  </si>
  <si>
    <t>iPhone 15</t>
  </si>
  <si>
    <t>Samsung S24</t>
  </si>
  <si>
    <t>Mac Book M3</t>
  </si>
  <si>
    <t>Apple Watch</t>
  </si>
  <si>
    <t>Sony WH-1000</t>
  </si>
  <si>
    <t>Dell XPS 15</t>
  </si>
  <si>
    <t>iPad Pro</t>
  </si>
  <si>
    <t>AirPods Pro</t>
  </si>
  <si>
    <t>ASUS ROG 8</t>
  </si>
  <si>
    <t>HP Spectre</t>
  </si>
  <si>
    <t>Moblie</t>
  </si>
  <si>
    <t>Laptop</t>
  </si>
  <si>
    <t>Wearable</t>
  </si>
  <si>
    <t>Audio</t>
  </si>
  <si>
    <t>Tablet</t>
  </si>
  <si>
    <t>Gaming</t>
  </si>
  <si>
    <t>Low Stock</t>
  </si>
  <si>
    <t>In Stock</t>
  </si>
  <si>
    <t>Re-Order</t>
  </si>
  <si>
    <t>Average Product Price</t>
  </si>
  <si>
    <t>Total Sales Value</t>
  </si>
  <si>
    <t>Total Re-Order Alerts</t>
  </si>
  <si>
    <t>Top Sales Product</t>
  </si>
  <si>
    <t>Bottom Sales Product</t>
  </si>
  <si>
    <t>SMART GADGET SALES &amp; INVENTORY TRACKER - 2026</t>
  </si>
  <si>
    <t>Executive Summary</t>
  </si>
  <si>
    <r>
      <rPr>
        <b/>
        <u/>
        <sz val="11"/>
        <color rgb="FFFF0000"/>
        <rFont val="Calibri"/>
        <family val="2"/>
        <scheme val="minor"/>
      </rPr>
      <t>Data Analytics Insights</t>
    </r>
    <r>
      <rPr>
        <b/>
        <sz val="11"/>
        <color rgb="FFFF0000"/>
        <rFont val="Calibri"/>
        <family val="2"/>
        <scheme val="minor"/>
      </rPr>
      <t>:-</t>
    </r>
  </si>
  <si>
    <t>Solution</t>
  </si>
  <si>
    <t>=SUM(F4:F13)</t>
  </si>
  <si>
    <t>=MAX(F4:F13)</t>
  </si>
  <si>
    <t>=MIN(F4:F13)</t>
  </si>
  <si>
    <t>=COUNTIF(G4:G13, "Re-Order")</t>
  </si>
  <si>
    <t>Formula</t>
  </si>
  <si>
    <t>=AVERAGE(E4:E13)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</si>
</sst>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left" indent="14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5" borderId="0" xfId="0" applyFont="1" applyFill="1" applyAlignment="1">
      <alignment horizontal="left" indent="5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Sales_Dashboard_2026!$F$3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Sales_Dashboard_2026!$C$4:$C$13</c:f>
              <c:strCache>
                <c:ptCount val="10"/>
                <c:pt idx="0">
                  <c:v>Moblie</c:v>
                </c:pt>
                <c:pt idx="1">
                  <c:v>Moblie</c:v>
                </c:pt>
                <c:pt idx="2">
                  <c:v>Laptop</c:v>
                </c:pt>
                <c:pt idx="3">
                  <c:v>Wearable</c:v>
                </c:pt>
                <c:pt idx="4">
                  <c:v>Audio</c:v>
                </c:pt>
                <c:pt idx="5">
                  <c:v>Laptop</c:v>
                </c:pt>
                <c:pt idx="6">
                  <c:v>Tablet</c:v>
                </c:pt>
                <c:pt idx="7">
                  <c:v>Audio</c:v>
                </c:pt>
                <c:pt idx="8">
                  <c:v>Gaming</c:v>
                </c:pt>
                <c:pt idx="9">
                  <c:v>Laptop</c:v>
                </c:pt>
              </c:strCache>
            </c:strRef>
          </c:cat>
          <c:val>
            <c:numRef>
              <c:f>Sales_Dashboard_2026!$F$4:$F$13</c:f>
              <c:numCache>
                <c:formatCode>"₹"\ #,##0.00</c:formatCode>
                <c:ptCount val="10"/>
                <c:pt idx="0">
                  <c:v>1500000</c:v>
                </c:pt>
                <c:pt idx="1">
                  <c:v>1250000</c:v>
                </c:pt>
                <c:pt idx="2">
                  <c:v>1800000</c:v>
                </c:pt>
                <c:pt idx="3">
                  <c:v>900000</c:v>
                </c:pt>
                <c:pt idx="4">
                  <c:v>500000</c:v>
                </c:pt>
                <c:pt idx="5">
                  <c:v>2000000</c:v>
                </c:pt>
                <c:pt idx="6">
                  <c:v>1100000</c:v>
                </c:pt>
                <c:pt idx="7">
                  <c:v>850000</c:v>
                </c:pt>
                <c:pt idx="8">
                  <c:v>760000</c:v>
                </c:pt>
                <c:pt idx="9">
                  <c:v>1350000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7-487B-A863-AC40AF2556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00900855093479"/>
          <c:y val="0.14982674216364691"/>
          <c:w val="0.73722444406650689"/>
          <c:h val="0.16468257624952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Current Stock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Sales_Dashboard_2026!$B$4:$B$13</c:f>
              <c:strCache>
                <c:ptCount val="10"/>
                <c:pt idx="0">
                  <c:v>iPhone 15</c:v>
                </c:pt>
                <c:pt idx="1">
                  <c:v>Samsung S24</c:v>
                </c:pt>
                <c:pt idx="2">
                  <c:v>Mac Book M3</c:v>
                </c:pt>
                <c:pt idx="3">
                  <c:v>Apple Watch</c:v>
                </c:pt>
                <c:pt idx="4">
                  <c:v>Sony WH-1000</c:v>
                </c:pt>
                <c:pt idx="5">
                  <c:v>Dell XPS 15</c:v>
                </c:pt>
                <c:pt idx="6">
                  <c:v>iPad Pro</c:v>
                </c:pt>
                <c:pt idx="7">
                  <c:v>AirPods Pro</c:v>
                </c:pt>
                <c:pt idx="8">
                  <c:v>ASUS ROG 8</c:v>
                </c:pt>
                <c:pt idx="9">
                  <c:v>HP Spectre</c:v>
                </c:pt>
              </c:strCache>
            </c:strRef>
          </c:cat>
          <c:val>
            <c:numRef>
              <c:f>Sales_Dashboard_2026!$D$4:$D$13</c:f>
              <c:numCache>
                <c:formatCode>General</c:formatCode>
                <c:ptCount val="10"/>
                <c:pt idx="0">
                  <c:v>5</c:v>
                </c:pt>
                <c:pt idx="1">
                  <c:v>12</c:v>
                </c:pt>
                <c:pt idx="2">
                  <c:v>3</c:v>
                </c:pt>
                <c:pt idx="3">
                  <c:v>25</c:v>
                </c:pt>
                <c:pt idx="4">
                  <c:v>8</c:v>
                </c:pt>
                <c:pt idx="5">
                  <c:v>2</c:v>
                </c:pt>
                <c:pt idx="6">
                  <c:v>15</c:v>
                </c:pt>
                <c:pt idx="7">
                  <c:v>40</c:v>
                </c:pt>
                <c:pt idx="8">
                  <c:v>4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5-492D-A336-B0B20C10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703423"/>
        <c:axId val="696397071"/>
      </c:barChart>
      <c:catAx>
        <c:axId val="31770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97071"/>
        <c:crosses val="autoZero"/>
        <c:auto val="1"/>
        <c:lblAlgn val="ctr"/>
        <c:lblOffset val="100"/>
        <c:noMultiLvlLbl val="0"/>
      </c:catAx>
      <c:valAx>
        <c:axId val="6963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0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22860</xdr:rowOff>
    </xdr:from>
    <xdr:to>
      <xdr:col>11</xdr:col>
      <xdr:colOff>1935480</xdr:colOff>
      <xdr:row>13</xdr:row>
      <xdr:rowOff>91440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3D789A-910F-FDE4-9A5F-441ABAD6A786}"/>
            </a:ext>
          </a:extLst>
        </xdr:cNvPr>
        <xdr:cNvSpPr txBox="1"/>
      </xdr:nvSpPr>
      <xdr:spPr>
        <a:xfrm>
          <a:off x="6431280" y="1943100"/>
          <a:ext cx="5410200" cy="6172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100" b="1" i="0"/>
            <a:t>"Analytical Insight: The Laptop category generates the most revenue. However, stock for Dell XPS 15 is at a critical level (Re-Order), needing immediate attention to prevent sales loss."</a:t>
          </a:r>
        </a:p>
      </xdr:txBody>
    </xdr:sp>
    <xdr:clientData/>
  </xdr:twoCellAnchor>
  <xdr:twoCellAnchor>
    <xdr:from>
      <xdr:col>0</xdr:col>
      <xdr:colOff>670760</xdr:colOff>
      <xdr:row>14</xdr:row>
      <xdr:rowOff>159619</xdr:rowOff>
    </xdr:from>
    <xdr:to>
      <xdr:col>6</xdr:col>
      <xdr:colOff>348715</xdr:colOff>
      <xdr:row>29</xdr:row>
      <xdr:rowOff>159619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466F07-D150-D246-7C90-0DD272BB5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38702</xdr:colOff>
      <xdr:row>14</xdr:row>
      <xdr:rowOff>136358</xdr:rowOff>
    </xdr:from>
    <xdr:to>
      <xdr:col>11</xdr:col>
      <xdr:colOff>1930467</xdr:colOff>
      <xdr:row>29</xdr:row>
      <xdr:rowOff>136358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54E262-2B0B-CA4B-C95E-55EBD104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4C18-C0DE-4BFB-950F-FBE3D080C0E9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C9D6-C931-4D9F-8542-783A20955F9D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3007-5387-4C3A-8B17-CE969907F5D3}">
  <dimension ref="A1:Q13"/>
  <sheetViews>
    <sheetView showGridLines="0" tabSelected="1" zoomScale="95" workbookViewId="0">
      <selection activeCell="G13" sqref="G13"/>
    </sheetView>
  </sheetViews>
  <sheetFormatPr defaultRowHeight="14.4" x14ac:dyDescent="0.3"/>
  <cols>
    <col min="1" max="1" width="11.6640625" customWidth="1"/>
    <col min="2" max="2" width="12.44140625" customWidth="1"/>
    <col min="3" max="3" width="10.6640625" customWidth="1"/>
    <col min="4" max="4" width="10.109375" customWidth="1"/>
    <col min="5" max="5" width="12.77734375" customWidth="1"/>
    <col min="6" max="6" width="13.6640625" customWidth="1"/>
    <col min="7" max="8" width="11.21875" customWidth="1"/>
    <col min="9" max="9" width="20.6640625" customWidth="1"/>
    <col min="10" max="10" width="30" customWidth="1"/>
    <col min="11" max="11" width="28.88671875" customWidth="1"/>
    <col min="12" max="12" width="28.6640625" customWidth="1"/>
  </cols>
  <sheetData>
    <row r="1" spans="1:17" s="7" customFormat="1" ht="18" x14ac:dyDescent="0.35">
      <c r="A1" s="16" t="s">
        <v>41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s="1" customFormat="1" ht="18" x14ac:dyDescent="0.35">
      <c r="A2" s="6"/>
    </row>
    <row r="3" spans="1:1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/>
      <c r="J3" s="10" t="s">
        <v>42</v>
      </c>
      <c r="K3" s="10" t="s">
        <v>44</v>
      </c>
      <c r="L3" s="12" t="s">
        <v>49</v>
      </c>
    </row>
    <row r="4" spans="1:17" x14ac:dyDescent="0.3">
      <c r="A4" s="3" t="s">
        <v>7</v>
      </c>
      <c r="B4" s="3" t="s">
        <v>17</v>
      </c>
      <c r="C4" s="3" t="s">
        <v>27</v>
      </c>
      <c r="D4" s="3">
        <v>5</v>
      </c>
      <c r="E4" s="4">
        <v>75000</v>
      </c>
      <c r="F4" s="4">
        <v>1500000</v>
      </c>
      <c r="G4" s="3" t="s">
        <v>33</v>
      </c>
      <c r="H4" s="8"/>
      <c r="J4" s="13" t="s">
        <v>37</v>
      </c>
      <c r="K4" s="14">
        <f>SUM(F4:F13)</f>
        <v>12010000</v>
      </c>
      <c r="L4" s="14" t="s">
        <v>45</v>
      </c>
    </row>
    <row r="5" spans="1:17" x14ac:dyDescent="0.3">
      <c r="A5" s="3" t="s">
        <v>8</v>
      </c>
      <c r="B5" s="3" t="s">
        <v>18</v>
      </c>
      <c r="C5" s="3" t="s">
        <v>27</v>
      </c>
      <c r="D5" s="3">
        <v>12</v>
      </c>
      <c r="E5" s="4">
        <v>85000</v>
      </c>
      <c r="F5" s="4">
        <v>1250000</v>
      </c>
      <c r="G5" s="3" t="s">
        <v>34</v>
      </c>
      <c r="H5" s="8"/>
      <c r="J5" s="13" t="s">
        <v>38</v>
      </c>
      <c r="K5" s="15">
        <f>COUNTIF(G4:G13, "Re-Order")</f>
        <v>1</v>
      </c>
      <c r="L5" s="15" t="s">
        <v>48</v>
      </c>
    </row>
    <row r="6" spans="1:17" x14ac:dyDescent="0.3">
      <c r="A6" s="3" t="s">
        <v>9</v>
      </c>
      <c r="B6" s="3" t="s">
        <v>19</v>
      </c>
      <c r="C6" s="3" t="s">
        <v>28</v>
      </c>
      <c r="D6" s="3">
        <v>3</v>
      </c>
      <c r="E6" s="4">
        <v>120000</v>
      </c>
      <c r="F6" s="4">
        <v>1800000</v>
      </c>
      <c r="G6" s="3" t="s">
        <v>33</v>
      </c>
      <c r="H6" s="8"/>
      <c r="J6" s="13" t="s">
        <v>39</v>
      </c>
      <c r="K6" s="14">
        <f>MAX(F4:F13)</f>
        <v>2000000</v>
      </c>
      <c r="L6" s="15" t="s">
        <v>46</v>
      </c>
    </row>
    <row r="7" spans="1:17" x14ac:dyDescent="0.3">
      <c r="A7" s="3" t="s">
        <v>10</v>
      </c>
      <c r="B7" s="3" t="s">
        <v>20</v>
      </c>
      <c r="C7" s="3" t="s">
        <v>29</v>
      </c>
      <c r="D7" s="3">
        <v>25</v>
      </c>
      <c r="E7" s="4">
        <v>45000</v>
      </c>
      <c r="F7" s="4">
        <v>900000</v>
      </c>
      <c r="G7" s="3" t="s">
        <v>34</v>
      </c>
      <c r="H7" s="8"/>
      <c r="J7" s="13" t="s">
        <v>36</v>
      </c>
      <c r="K7" s="14">
        <f>AVERAGE(E4:E13)</f>
        <v>84200</v>
      </c>
      <c r="L7" s="15" t="s">
        <v>50</v>
      </c>
    </row>
    <row r="8" spans="1:17" x14ac:dyDescent="0.3">
      <c r="A8" s="3" t="s">
        <v>11</v>
      </c>
      <c r="B8" s="3" t="s">
        <v>21</v>
      </c>
      <c r="C8" s="3" t="s">
        <v>30</v>
      </c>
      <c r="D8" s="3">
        <v>8</v>
      </c>
      <c r="E8" s="4">
        <v>25000</v>
      </c>
      <c r="F8" s="4">
        <v>500000</v>
      </c>
      <c r="G8" s="3" t="s">
        <v>34</v>
      </c>
      <c r="H8" s="8"/>
      <c r="J8" s="13" t="s">
        <v>40</v>
      </c>
      <c r="K8" s="14">
        <f>MIN(F4:F13)</f>
        <v>500000</v>
      </c>
      <c r="L8" s="15" t="s">
        <v>47</v>
      </c>
    </row>
    <row r="9" spans="1:17" x14ac:dyDescent="0.3">
      <c r="A9" s="3" t="s">
        <v>12</v>
      </c>
      <c r="B9" s="3" t="s">
        <v>22</v>
      </c>
      <c r="C9" s="3" t="s">
        <v>28</v>
      </c>
      <c r="D9" s="3">
        <v>2</v>
      </c>
      <c r="E9" s="4">
        <v>150000</v>
      </c>
      <c r="F9" s="4">
        <v>2000000</v>
      </c>
      <c r="G9" s="3" t="s">
        <v>35</v>
      </c>
      <c r="H9" s="8"/>
    </row>
    <row r="10" spans="1:17" x14ac:dyDescent="0.3">
      <c r="A10" s="3" t="s">
        <v>13</v>
      </c>
      <c r="B10" s="3" t="s">
        <v>23</v>
      </c>
      <c r="C10" s="3" t="s">
        <v>31</v>
      </c>
      <c r="D10" s="3">
        <v>15</v>
      </c>
      <c r="E10" s="4">
        <v>90000</v>
      </c>
      <c r="F10" s="4">
        <v>1100000</v>
      </c>
      <c r="G10" s="3" t="s">
        <v>34</v>
      </c>
      <c r="H10" s="8"/>
      <c r="J10" s="17" t="s">
        <v>43</v>
      </c>
      <c r="K10" s="5"/>
    </row>
    <row r="11" spans="1:17" x14ac:dyDescent="0.3">
      <c r="A11" s="3" t="s">
        <v>14</v>
      </c>
      <c r="B11" s="3" t="s">
        <v>24</v>
      </c>
      <c r="C11" s="3" t="s">
        <v>30</v>
      </c>
      <c r="D11" s="3">
        <v>40</v>
      </c>
      <c r="E11" s="4">
        <v>22000</v>
      </c>
      <c r="F11" s="4">
        <v>850000</v>
      </c>
      <c r="G11" s="3" t="s">
        <v>34</v>
      </c>
      <c r="H11" s="8"/>
      <c r="J11" s="11"/>
      <c r="K11" s="11"/>
    </row>
    <row r="12" spans="1:17" x14ac:dyDescent="0.3">
      <c r="A12" s="3" t="s">
        <v>15</v>
      </c>
      <c r="B12" s="3" t="s">
        <v>25</v>
      </c>
      <c r="C12" s="3" t="s">
        <v>32</v>
      </c>
      <c r="D12" s="3">
        <v>4</v>
      </c>
      <c r="E12" s="4">
        <v>95000</v>
      </c>
      <c r="F12" s="4">
        <v>760000</v>
      </c>
      <c r="G12" s="3" t="s">
        <v>33</v>
      </c>
      <c r="H12" s="8"/>
      <c r="J12" s="11"/>
      <c r="K12" s="11"/>
    </row>
    <row r="13" spans="1:17" x14ac:dyDescent="0.3">
      <c r="A13" s="3" t="s">
        <v>16</v>
      </c>
      <c r="B13" s="3" t="s">
        <v>26</v>
      </c>
      <c r="C13" s="3" t="s">
        <v>28</v>
      </c>
      <c r="D13" s="3">
        <v>10</v>
      </c>
      <c r="E13" s="4">
        <v>135000</v>
      </c>
      <c r="F13" s="4">
        <v>1350000</v>
      </c>
      <c r="G13" s="3" t="s">
        <v>34</v>
      </c>
      <c r="H13" s="8"/>
      <c r="J13" s="11"/>
      <c r="K13" s="11"/>
    </row>
  </sheetData>
  <mergeCells count="1">
    <mergeCell ref="A1:Q1"/>
  </mergeCells>
  <phoneticPr fontId="2" type="noConversion"/>
  <conditionalFormatting sqref="E4:E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3">
    <cfRule type="iconSet" priority="1">
      <iconSet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Sales_Dashboard_2026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Choppa</dc:creator>
  <cp:lastModifiedBy>Shiva Choppa</cp:lastModifiedBy>
  <dcterms:created xsi:type="dcterms:W3CDTF">2026-04-18T13:25:20Z</dcterms:created>
  <dcterms:modified xsi:type="dcterms:W3CDTF">2026-04-19T05:40:37Z</dcterms:modified>
</cp:coreProperties>
</file>